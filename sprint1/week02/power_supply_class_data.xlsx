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2controls-my.sharepoint.com/personal/keith_k2controls_net/Documents/NMC/courses/piRover02/sprint1/week02_old/power_source/"/>
    </mc:Choice>
  </mc:AlternateContent>
  <xr:revisionPtr revIDLastSave="389" documentId="8_{9206AC66-B96F-48F5-973B-FED42AB19498}" xr6:coauthVersionLast="47" xr6:coauthVersionMax="47" xr10:uidLastSave="{2C6F0FC3-56E0-429E-BD93-21EE9E8869AF}"/>
  <bookViews>
    <workbookView xWindow="-20813" yWindow="885" windowWidth="22403" windowHeight="12045" xr2:uid="{80239F9B-28E3-4269-A12C-43DFDE13784A}"/>
  </bookViews>
  <sheets>
    <sheet name="power_supply_clas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9" i="1"/>
  <c r="F8" i="1"/>
  <c r="F6" i="1"/>
  <c r="F5" i="1"/>
  <c r="D14" i="1"/>
  <c r="D13" i="1"/>
  <c r="D12" i="1"/>
  <c r="D11" i="1"/>
  <c r="D10" i="1"/>
  <c r="D9" i="1"/>
  <c r="D8" i="1"/>
  <c r="D7" i="1"/>
  <c r="D6" i="1"/>
  <c r="D5" i="1"/>
  <c r="B16" i="1"/>
  <c r="N16" i="1" l="1"/>
  <c r="M17" i="1"/>
  <c r="L17" i="1"/>
  <c r="K17" i="1"/>
  <c r="M16" i="1"/>
  <c r="L16" i="1"/>
  <c r="K16" i="1"/>
  <c r="I17" i="1"/>
  <c r="H17" i="1"/>
  <c r="G17" i="1"/>
  <c r="E17" i="1"/>
  <c r="C17" i="1"/>
  <c r="I16" i="1"/>
  <c r="H16" i="1"/>
  <c r="G16" i="1"/>
  <c r="E16" i="1"/>
  <c r="C16" i="1"/>
  <c r="B17" i="1"/>
  <c r="C19" i="1" l="1"/>
  <c r="B19" i="1"/>
  <c r="E19" i="1"/>
  <c r="N17" i="1"/>
  <c r="N18" i="1" s="1"/>
  <c r="G19" i="1"/>
  <c r="J17" i="1"/>
  <c r="F16" i="1"/>
  <c r="M18" i="1"/>
  <c r="L18" i="1"/>
  <c r="I19" i="1"/>
  <c r="L19" i="1"/>
  <c r="J16" i="1"/>
  <c r="K19" i="1"/>
  <c r="M19" i="1"/>
  <c r="I18" i="1"/>
  <c r="H19" i="1"/>
  <c r="H18" i="1"/>
  <c r="G18" i="1"/>
  <c r="K18" i="1"/>
  <c r="F17" i="1"/>
  <c r="B18" i="1"/>
  <c r="E18" i="1"/>
  <c r="C18" i="1"/>
  <c r="N19" i="1" l="1"/>
  <c r="J18" i="1"/>
  <c r="F18" i="1"/>
  <c r="J19" i="1"/>
  <c r="F19" i="1"/>
</calcChain>
</file>

<file path=xl/sharedStrings.xml><?xml version="1.0" encoding="utf-8"?>
<sst xmlns="http://schemas.openxmlformats.org/spreadsheetml/2006/main" count="31" uniqueCount="23">
  <si>
    <t>First name</t>
  </si>
  <si>
    <t>Power Source: Test Data</t>
  </si>
  <si>
    <t>VL</t>
  </si>
  <si>
    <t>VT</t>
  </si>
  <si>
    <t>IL</t>
  </si>
  <si>
    <t>RS</t>
  </si>
  <si>
    <t>Keith</t>
  </si>
  <si>
    <t>Test 1 - Pi Only</t>
  </si>
  <si>
    <t>Test 2 - Pi Plus Drive</t>
  </si>
  <si>
    <t>standard dev</t>
  </si>
  <si>
    <t>mean</t>
  </si>
  <si>
    <t>min</t>
  </si>
  <si>
    <t>max</t>
  </si>
  <si>
    <t>Test 3 - Pi Plus Drive with 120V PS</t>
  </si>
  <si>
    <t>Adam</t>
  </si>
  <si>
    <t>Anthony</t>
  </si>
  <si>
    <t>Antonio</t>
  </si>
  <si>
    <t>Lee</t>
  </si>
  <si>
    <t>Lily</t>
  </si>
  <si>
    <t>Mercedes</t>
  </si>
  <si>
    <t>Mitch</t>
  </si>
  <si>
    <t>Raymond</t>
  </si>
  <si>
    <t>Sonya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</si>
</sst>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6" fillId="0" borderId="0" applyFont="0" applyFill="0" applyBorder="0" applyAlignment="0" applyProtection="0"/>
  </cellStyleXfs>
  <cellXfs count="14">
    <xf numFmtId="0" fontId="0" fillId="0" borderId="0" xfId="0"/>
    <xf numFmtId="49" fontId="3" fillId="0" borderId="1" xfId="1" applyNumberFormat="1" applyFont="1" applyBorder="1"/>
    <xf numFmtId="0" fontId="1" fillId="0" borderId="0" xfId="0" applyFont="1"/>
    <xf numFmtId="14" fontId="1" fillId="0" borderId="0" xfId="0" applyNumberFormat="1" applyFont="1"/>
    <xf numFmtId="43" fontId="0" fillId="0" borderId="0" xfId="0" applyNumberFormat="1"/>
    <xf numFmtId="49" fontId="3" fillId="0" borderId="2" xfId="1" applyNumberFormat="1" applyFont="1" applyBorder="1"/>
    <xf numFmtId="43" fontId="4" fillId="2" borderId="0" xfId="2" applyFont="1" applyFill="1"/>
    <xf numFmtId="43" fontId="5" fillId="0" borderId="0" xfId="2" applyFont="1"/>
    <xf numFmtId="43" fontId="4" fillId="0" borderId="0" xfId="2" applyFont="1"/>
    <xf numFmtId="49" fontId="7" fillId="2" borderId="0" xfId="0" applyNumberFormat="1" applyFont="1" applyFill="1"/>
    <xf numFmtId="49" fontId="7" fillId="0" borderId="0" xfId="0" applyNumberFormat="1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2E60F7CC-2C3F-4BD9-A07E-3D23A85C1C2B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E94F-66A9-4E51-A9C2-22AA33D577E5}">
  <dimension ref="A1:N28"/>
  <sheetViews>
    <sheetView tabSelected="1" workbookViewId="0">
      <selection activeCell="F14" sqref="F14"/>
    </sheetView>
  </sheetViews>
  <sheetFormatPr defaultRowHeight="14.4" x14ac:dyDescent="0.3"/>
  <cols>
    <col min="1" max="1" width="21.5546875" bestFit="1" customWidth="1"/>
  </cols>
  <sheetData>
    <row r="1" spans="1:14" x14ac:dyDescent="0.3">
      <c r="A1" s="2" t="s">
        <v>1</v>
      </c>
    </row>
    <row r="2" spans="1:14" x14ac:dyDescent="0.3">
      <c r="A2" s="3">
        <v>45176</v>
      </c>
    </row>
    <row r="3" spans="1:14" x14ac:dyDescent="0.3">
      <c r="B3" s="11" t="s">
        <v>7</v>
      </c>
      <c r="C3" s="12"/>
      <c r="D3" s="12"/>
      <c r="E3" s="12"/>
      <c r="F3" s="13"/>
      <c r="G3" s="11" t="s">
        <v>8</v>
      </c>
      <c r="H3" s="12"/>
      <c r="I3" s="12"/>
      <c r="J3" s="13"/>
      <c r="K3" s="11" t="s">
        <v>13</v>
      </c>
      <c r="L3" s="12"/>
      <c r="M3" s="12"/>
      <c r="N3" s="13"/>
    </row>
    <row r="4" spans="1:14" x14ac:dyDescent="0.3">
      <c r="A4" s="1" t="s">
        <v>0</v>
      </c>
      <c r="B4" s="5" t="s">
        <v>3</v>
      </c>
      <c r="C4" s="5" t="s">
        <v>2</v>
      </c>
      <c r="D4" s="5"/>
      <c r="E4" s="5" t="s">
        <v>4</v>
      </c>
      <c r="F4" s="5" t="s">
        <v>5</v>
      </c>
      <c r="G4" s="1" t="s">
        <v>3</v>
      </c>
      <c r="H4" s="1" t="s">
        <v>2</v>
      </c>
      <c r="I4" s="1" t="s">
        <v>4</v>
      </c>
      <c r="J4" s="1" t="s">
        <v>5</v>
      </c>
      <c r="K4" s="1" t="s">
        <v>3</v>
      </c>
      <c r="L4" s="1" t="s">
        <v>2</v>
      </c>
      <c r="M4" s="1" t="s">
        <v>4</v>
      </c>
      <c r="N4" s="1" t="s">
        <v>5</v>
      </c>
    </row>
    <row r="5" spans="1:14" x14ac:dyDescent="0.3">
      <c r="A5" s="9" t="s">
        <v>14</v>
      </c>
      <c r="B5" s="6">
        <v>12.58</v>
      </c>
      <c r="C5" s="6">
        <v>12.35</v>
      </c>
      <c r="D5" s="6">
        <f>B5-C5</f>
        <v>0.23000000000000043</v>
      </c>
      <c r="E5" s="6">
        <v>0.3</v>
      </c>
      <c r="F5" s="6">
        <f>(B5-C5)/E5</f>
        <v>0.76666666666666816</v>
      </c>
      <c r="G5" s="6"/>
      <c r="H5" s="6"/>
      <c r="I5" s="6"/>
      <c r="J5" s="6"/>
      <c r="K5" s="6"/>
      <c r="L5" s="6"/>
      <c r="M5" s="6"/>
      <c r="N5" s="6"/>
    </row>
    <row r="6" spans="1:14" x14ac:dyDescent="0.3">
      <c r="A6" s="10" t="s">
        <v>15</v>
      </c>
      <c r="B6" s="7">
        <v>11.3</v>
      </c>
      <c r="C6" s="7">
        <v>11.1</v>
      </c>
      <c r="D6" s="6">
        <f t="shared" ref="D6:D14" si="0">B6-C6</f>
        <v>0.20000000000000107</v>
      </c>
      <c r="E6" s="7">
        <v>0.35</v>
      </c>
      <c r="F6" s="6">
        <f t="shared" ref="F6:F14" si="1">(B6-C6)/E6</f>
        <v>0.57142857142857451</v>
      </c>
      <c r="G6" s="7"/>
      <c r="H6" s="7"/>
      <c r="I6" s="7"/>
      <c r="J6" s="8"/>
      <c r="K6" s="7"/>
      <c r="L6" s="7"/>
      <c r="M6" s="7"/>
      <c r="N6" s="8"/>
    </row>
    <row r="7" spans="1:14" x14ac:dyDescent="0.3">
      <c r="A7" s="9" t="s">
        <v>16</v>
      </c>
      <c r="B7" s="6"/>
      <c r="C7" s="6"/>
      <c r="D7" s="6">
        <f t="shared" si="0"/>
        <v>0</v>
      </c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10" t="s">
        <v>17</v>
      </c>
      <c r="B8" s="7">
        <v>12.51</v>
      </c>
      <c r="C8" s="7">
        <v>12.22</v>
      </c>
      <c r="D8" s="6">
        <f t="shared" si="0"/>
        <v>0.28999999999999915</v>
      </c>
      <c r="E8" s="7">
        <v>0.41</v>
      </c>
      <c r="F8" s="6">
        <f t="shared" si="1"/>
        <v>0.70731707317072967</v>
      </c>
      <c r="G8" s="7"/>
      <c r="H8" s="7"/>
      <c r="I8" s="7"/>
      <c r="J8" s="8"/>
      <c r="K8" s="7"/>
      <c r="L8" s="7"/>
      <c r="M8" s="7"/>
      <c r="N8" s="8"/>
    </row>
    <row r="9" spans="1:14" x14ac:dyDescent="0.3">
      <c r="A9" s="9" t="s">
        <v>18</v>
      </c>
      <c r="B9" s="6">
        <v>12.5</v>
      </c>
      <c r="C9" s="6">
        <v>12.3</v>
      </c>
      <c r="D9" s="6">
        <f t="shared" si="0"/>
        <v>0.19999999999999929</v>
      </c>
      <c r="E9" s="6">
        <v>0.38</v>
      </c>
      <c r="F9" s="6">
        <f t="shared" si="1"/>
        <v>0.52631578947368229</v>
      </c>
      <c r="G9" s="6"/>
      <c r="H9" s="6"/>
      <c r="I9" s="6"/>
      <c r="J9" s="6"/>
      <c r="K9" s="6"/>
      <c r="L9" s="6"/>
      <c r="M9" s="6"/>
      <c r="N9" s="6"/>
    </row>
    <row r="10" spans="1:14" x14ac:dyDescent="0.3">
      <c r="A10" s="10" t="s">
        <v>19</v>
      </c>
      <c r="B10" s="7"/>
      <c r="C10" s="7"/>
      <c r="D10" s="6">
        <f t="shared" si="0"/>
        <v>0</v>
      </c>
      <c r="E10" s="7"/>
      <c r="F10" s="6"/>
      <c r="G10" s="7"/>
      <c r="H10" s="7"/>
      <c r="I10" s="7"/>
      <c r="J10" s="8"/>
      <c r="K10" s="7"/>
      <c r="L10" s="7"/>
      <c r="M10" s="7"/>
      <c r="N10" s="8"/>
    </row>
    <row r="11" spans="1:14" x14ac:dyDescent="0.3">
      <c r="A11" s="9" t="s">
        <v>20</v>
      </c>
      <c r="B11" s="6">
        <v>12.63</v>
      </c>
      <c r="C11" s="6">
        <v>12.4</v>
      </c>
      <c r="D11" s="6">
        <f t="shared" si="0"/>
        <v>0.23000000000000043</v>
      </c>
      <c r="E11" s="6">
        <v>0.37</v>
      </c>
      <c r="F11" s="6">
        <f t="shared" si="1"/>
        <v>0.62162162162162282</v>
      </c>
      <c r="G11" s="6"/>
      <c r="H11" s="6"/>
      <c r="I11" s="6"/>
      <c r="J11" s="6"/>
      <c r="K11" s="6"/>
      <c r="L11" s="6"/>
      <c r="M11" s="6"/>
      <c r="N11" s="6"/>
    </row>
    <row r="12" spans="1:14" x14ac:dyDescent="0.3">
      <c r="A12" s="10" t="s">
        <v>21</v>
      </c>
      <c r="B12" s="7">
        <v>12.46</v>
      </c>
      <c r="C12" s="7">
        <v>12.28</v>
      </c>
      <c r="D12" s="6">
        <f t="shared" si="0"/>
        <v>0.18000000000000149</v>
      </c>
      <c r="E12" s="7">
        <v>0.26</v>
      </c>
      <c r="F12" s="6">
        <f t="shared" si="1"/>
        <v>0.69230769230769806</v>
      </c>
      <c r="G12" s="7"/>
      <c r="H12" s="7"/>
      <c r="I12" s="7"/>
      <c r="J12" s="8"/>
      <c r="K12" s="7"/>
      <c r="L12" s="7"/>
      <c r="M12" s="7"/>
      <c r="N12" s="8"/>
    </row>
    <row r="13" spans="1:14" x14ac:dyDescent="0.3">
      <c r="A13" s="9" t="s">
        <v>22</v>
      </c>
      <c r="B13" s="6">
        <v>12.17</v>
      </c>
      <c r="C13" s="6">
        <v>12.04</v>
      </c>
      <c r="D13" s="6">
        <f t="shared" si="0"/>
        <v>0.13000000000000078</v>
      </c>
      <c r="E13" s="6">
        <v>0.32</v>
      </c>
      <c r="F13" s="6">
        <f t="shared" si="1"/>
        <v>0.40625000000000244</v>
      </c>
      <c r="G13" s="6"/>
      <c r="H13" s="6"/>
      <c r="I13" s="6"/>
      <c r="J13" s="6"/>
      <c r="K13" s="6"/>
      <c r="L13" s="6"/>
      <c r="M13" s="6"/>
      <c r="N13" s="6"/>
    </row>
    <row r="14" spans="1:14" x14ac:dyDescent="0.3">
      <c r="A14" s="10" t="s">
        <v>6</v>
      </c>
      <c r="B14" s="7">
        <v>12.68</v>
      </c>
      <c r="C14" s="7">
        <v>12.42</v>
      </c>
      <c r="D14" s="6">
        <f t="shared" si="0"/>
        <v>0.25999999999999979</v>
      </c>
      <c r="E14" s="7">
        <v>0.44</v>
      </c>
      <c r="F14" s="6">
        <f t="shared" si="1"/>
        <v>0.59090909090909038</v>
      </c>
      <c r="G14" s="7"/>
      <c r="H14" s="7"/>
      <c r="I14" s="7"/>
      <c r="J14" s="8"/>
      <c r="K14" s="7"/>
      <c r="L14" s="7"/>
      <c r="M14" s="7"/>
      <c r="N14" s="8"/>
    </row>
    <row r="16" spans="1:14" x14ac:dyDescent="0.3">
      <c r="A16" t="s">
        <v>10</v>
      </c>
      <c r="B16" s="4">
        <f>AVERAGE(B5:B14)</f>
        <v>12.353750000000002</v>
      </c>
      <c r="C16" s="4">
        <f>AVERAGE(C5:C14)</f>
        <v>12.13875</v>
      </c>
      <c r="D16" s="4"/>
      <c r="E16" s="4">
        <f>AVERAGE(E5:E14)</f>
        <v>0.35375000000000001</v>
      </c>
      <c r="F16" s="4">
        <f>AVERAGE(F5:F14)</f>
        <v>0.61035206319725854</v>
      </c>
      <c r="G16" s="4" t="e">
        <f>AVERAGE(G5:G14)</f>
        <v>#DIV/0!</v>
      </c>
      <c r="H16" s="4" t="e">
        <f>AVERAGE(H5:H14)</f>
        <v>#DIV/0!</v>
      </c>
      <c r="I16" s="4" t="e">
        <f>AVERAGE(I5:I14)</f>
        <v>#DIV/0!</v>
      </c>
      <c r="J16" s="4" t="e">
        <f>AVERAGE(J5:J14)</f>
        <v>#DIV/0!</v>
      </c>
      <c r="K16" s="4" t="e">
        <f>AVERAGE(K5:K14)</f>
        <v>#DIV/0!</v>
      </c>
      <c r="L16" s="4" t="e">
        <f>AVERAGE(L5:L14)</f>
        <v>#DIV/0!</v>
      </c>
      <c r="M16" s="4" t="e">
        <f>AVERAGE(M5:M14)</f>
        <v>#DIV/0!</v>
      </c>
      <c r="N16" s="4" t="e">
        <f>AVERAGE(N5:N14)</f>
        <v>#DIV/0!</v>
      </c>
    </row>
    <row r="17" spans="1:14" x14ac:dyDescent="0.3">
      <c r="A17" t="s">
        <v>9</v>
      </c>
      <c r="B17">
        <f>STDEV(B5:B14)</f>
        <v>0.45279883581374808</v>
      </c>
      <c r="C17">
        <f>STDEV(C5:C14)</f>
        <v>0.43642827916754323</v>
      </c>
      <c r="E17">
        <f>STDEV(E5:E14)</f>
        <v>5.902481318419036E-2</v>
      </c>
      <c r="F17">
        <f>STDEV(F5:F14)</f>
        <v>0.11420095783468003</v>
      </c>
      <c r="G17" t="e">
        <f>STDEV(G5:G14)</f>
        <v>#DIV/0!</v>
      </c>
      <c r="H17" t="e">
        <f>STDEV(H5:H14)</f>
        <v>#DIV/0!</v>
      </c>
      <c r="I17" t="e">
        <f>STDEV(I5:I14)</f>
        <v>#DIV/0!</v>
      </c>
      <c r="J17" t="e">
        <f>STDEV(J5:J14)</f>
        <v>#DIV/0!</v>
      </c>
      <c r="K17" t="e">
        <f>STDEV(K5:K14)</f>
        <v>#DIV/0!</v>
      </c>
      <c r="L17" t="e">
        <f>STDEV(L5:L14)</f>
        <v>#DIV/0!</v>
      </c>
      <c r="M17" t="e">
        <f>STDEV(M5:M14)</f>
        <v>#DIV/0!</v>
      </c>
      <c r="N17" t="e">
        <f>STDEV(N5:N14)</f>
        <v>#DIV/0!</v>
      </c>
    </row>
    <row r="18" spans="1:14" x14ac:dyDescent="0.3">
      <c r="A18" t="s">
        <v>11</v>
      </c>
      <c r="B18" s="4">
        <f>B16-B17</f>
        <v>11.900951164186253</v>
      </c>
      <c r="C18" s="4">
        <f t="shared" ref="C18:J18" si="2">C16-C17</f>
        <v>11.702321720832456</v>
      </c>
      <c r="D18" s="4"/>
      <c r="E18" s="4">
        <f t="shared" si="2"/>
        <v>0.29472518681580967</v>
      </c>
      <c r="F18" s="4">
        <f t="shared" si="2"/>
        <v>0.4961511053625785</v>
      </c>
      <c r="G18" s="4" t="e">
        <f t="shared" si="2"/>
        <v>#DIV/0!</v>
      </c>
      <c r="H18" s="4" t="e">
        <f t="shared" si="2"/>
        <v>#DIV/0!</v>
      </c>
      <c r="I18" s="4" t="e">
        <f t="shared" si="2"/>
        <v>#DIV/0!</v>
      </c>
      <c r="J18" s="4" t="e">
        <f t="shared" si="2"/>
        <v>#DIV/0!</v>
      </c>
      <c r="K18" s="4" t="e">
        <f t="shared" ref="K18:N18" si="3">K16-K17</f>
        <v>#DIV/0!</v>
      </c>
      <c r="L18" s="4" t="e">
        <f t="shared" si="3"/>
        <v>#DIV/0!</v>
      </c>
      <c r="M18" s="4" t="e">
        <f t="shared" si="3"/>
        <v>#DIV/0!</v>
      </c>
      <c r="N18" s="4" t="e">
        <f t="shared" si="3"/>
        <v>#DIV/0!</v>
      </c>
    </row>
    <row r="19" spans="1:14" x14ac:dyDescent="0.3">
      <c r="A19" t="s">
        <v>12</v>
      </c>
      <c r="B19" s="4">
        <f>B17+B16</f>
        <v>12.80654883581375</v>
      </c>
      <c r="C19" s="4">
        <f t="shared" ref="C19:J19" si="4">C17+C16</f>
        <v>12.575178279167543</v>
      </c>
      <c r="D19" s="4"/>
      <c r="E19" s="4">
        <f t="shared" si="4"/>
        <v>0.41277481318419035</v>
      </c>
      <c r="F19" s="4">
        <f t="shared" si="4"/>
        <v>0.72455302103193853</v>
      </c>
      <c r="G19" s="4" t="e">
        <f t="shared" si="4"/>
        <v>#DIV/0!</v>
      </c>
      <c r="H19" s="4" t="e">
        <f t="shared" si="4"/>
        <v>#DIV/0!</v>
      </c>
      <c r="I19" s="4" t="e">
        <f t="shared" si="4"/>
        <v>#DIV/0!</v>
      </c>
      <c r="J19" s="4" t="e">
        <f t="shared" si="4"/>
        <v>#DIV/0!</v>
      </c>
      <c r="K19" s="4" t="e">
        <f t="shared" ref="K19:N19" si="5">K17+K16</f>
        <v>#DIV/0!</v>
      </c>
      <c r="L19" s="4" t="e">
        <f t="shared" si="5"/>
        <v>#DIV/0!</v>
      </c>
      <c r="M19" s="4" t="e">
        <f t="shared" si="5"/>
        <v>#DIV/0!</v>
      </c>
      <c r="N19" s="4" t="e">
        <f t="shared" si="5"/>
        <v>#DIV/0!</v>
      </c>
    </row>
    <row r="23" spans="1:14" x14ac:dyDescent="0.3">
      <c r="I23" s="6"/>
    </row>
    <row r="24" spans="1:14" x14ac:dyDescent="0.3">
      <c r="I24" s="8"/>
    </row>
    <row r="27" spans="1:14" x14ac:dyDescent="0.3">
      <c r="A27" s="9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3">
      <c r="A28" s="10"/>
      <c r="B28" s="7"/>
      <c r="C28" s="7"/>
      <c r="D28" s="7"/>
      <c r="E28" s="7"/>
      <c r="F28" s="8"/>
      <c r="G28" s="7"/>
      <c r="H28" s="7"/>
      <c r="I28" s="7"/>
      <c r="J28" s="8"/>
      <c r="K28" s="7"/>
      <c r="L28" s="7"/>
      <c r="M28" s="7"/>
      <c r="N28" s="8"/>
    </row>
  </sheetData>
  <mergeCells count="3">
    <mergeCell ref="B3:F3"/>
    <mergeCell ref="G3:J3"/>
    <mergeCell ref="K3:N3"/>
  </mergeCells>
  <conditionalFormatting sqref="B5:N14">
    <cfRule type="expression" dxfId="2" priority="1">
      <formula>"&lt;$B$19-$B$20 OR &gt;$B$18:$E$19+$B$20"</formula>
    </cfRule>
  </conditionalFormatting>
  <conditionalFormatting sqref="B27:N28">
    <cfRule type="expression" dxfId="1" priority="10">
      <formula>"&lt;$B$19-$B$20 OR &gt;$B$18:$E$19+$B$20"</formula>
    </cfRule>
  </conditionalFormatting>
  <conditionalFormatting sqref="I23:I24">
    <cfRule type="expression" dxfId="0" priority="3">
      <formula>"&lt;$B$19-$B$20 OR &gt;$B$18:$E$19+$B$20"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power_supply_class_data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E. Kelly</dc:creator>
  <cp:lastModifiedBy>Keith E. Kelly</cp:lastModifiedBy>
  <dcterms:created xsi:type="dcterms:W3CDTF">2021-01-18T14:59:46Z</dcterms:created>
  <dcterms:modified xsi:type="dcterms:W3CDTF">2023-09-07T15:39:59Z</dcterms:modified>
</cp:coreProperties>
</file>